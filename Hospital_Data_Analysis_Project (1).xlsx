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C7512C-948C-491D-9245-F24323C58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Data (2)" sheetId="3" r:id="rId1"/>
    <sheet name="HospitalData" sheetId="1" r:id="rId2"/>
    <sheet name="ProjectGuide" sheetId="2" r:id="rId3"/>
  </sheets>
  <definedNames>
    <definedName name="_xlnm._FilterDatabase" localSheetId="1" hidden="1">HospitalData!$A$1:$G$11</definedName>
    <definedName name="_xlnm._FilterDatabase" localSheetId="0" hidden="1">'HospitalData (2)'!$A$1:$G$11</definedName>
    <definedName name="_xlnm._FilterDatabase" localSheetId="2" hidden="1">ProjectGuide!$A$1:$B$6</definedName>
  </definedNames>
  <calcPr calcId="191029"/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</calcChain>
</file>

<file path=xl/sharedStrings.xml><?xml version="1.0" encoding="utf-8"?>
<sst xmlns="http://schemas.openxmlformats.org/spreadsheetml/2006/main" count="87" uniqueCount="36">
  <si>
    <t>PatientID</t>
  </si>
  <si>
    <t>Gender</t>
  </si>
  <si>
    <t>Age</t>
  </si>
  <si>
    <t>Department</t>
  </si>
  <si>
    <t>AdmissionDate</t>
  </si>
  <si>
    <t>DischargeDate</t>
  </si>
  <si>
    <t>BillAmount</t>
  </si>
  <si>
    <t>P101</t>
  </si>
  <si>
    <t>Male</t>
  </si>
  <si>
    <t>Cardiology</t>
  </si>
  <si>
    <t>P102</t>
  </si>
  <si>
    <t>Female</t>
  </si>
  <si>
    <t>Orthopedics</t>
  </si>
  <si>
    <t>P103</t>
  </si>
  <si>
    <t>Neurology</t>
  </si>
  <si>
    <t>P104</t>
  </si>
  <si>
    <t>P105</t>
  </si>
  <si>
    <t>General Medicine</t>
  </si>
  <si>
    <t>P106</t>
  </si>
  <si>
    <t>P107</t>
  </si>
  <si>
    <t>P108</t>
  </si>
  <si>
    <t>P109</t>
  </si>
  <si>
    <t>P110</t>
  </si>
  <si>
    <t>Project Step</t>
  </si>
  <si>
    <t>What to do</t>
  </si>
  <si>
    <t>1. Excel cleaning</t>
  </si>
  <si>
    <t>Check duplicates, blank cells, data types, and date formats. Do not alter raw data; duplicate the sheet first.</t>
  </si>
  <si>
    <t>2. Add LengthOfStay</t>
  </si>
  <si>
    <t>Add a column named LengthOfStay. Excel formula in H2: =G? (Use DischargeDate minus AdmissionDate: =F2-E2 if dates are in E and F; adjust to your actual column positions.)</t>
  </si>
  <si>
    <t>3. SQL analysis</t>
  </si>
  <si>
    <t>Create a table named HospitalData in MySQL and run the SQL examples provided in the project guide.</t>
  </si>
  <si>
    <t>4. Power BI dashboard</t>
  </si>
  <si>
    <t>Create cards for Total Patients, Total Revenue, Average Age, and Average Length of Stay; charts by department, gender, and admission date; add Department and Gender slicers.</t>
  </si>
  <si>
    <t>5. Interview explanation</t>
  </si>
  <si>
    <t>Explain the workflow honestly: Excel for cleaning, SQL for analysis, Power BI for visualization.</t>
  </si>
  <si>
    <t>LengthOfStay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</si>
</sst>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m\-yyyy"/>
    <numFmt numFmtId="169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166" fontId="0" fillId="0" borderId="0" xfId="0" applyNumberFormat="1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0" fillId="0" borderId="0" xfId="0" applyNumberFormat="1"/>
    <xf numFmtId="1" fontId="1" fillId="2" borderId="2" xfId="0" applyNumberFormat="1" applyFont="1" applyFill="1" applyBorder="1" applyAlignment="1">
      <alignment horizontal="center"/>
    </xf>
    <xf numFmtId="1" fontId="0" fillId="0" borderId="0" xfId="0" applyNumberFormat="1"/>
    <xf numFmtId="169" fontId="1" fillId="2" borderId="2" xfId="0" applyNumberFormat="1" applyFont="1" applyFill="1" applyBorder="1" applyAlignment="1">
      <alignment horizontal="center"/>
    </xf>
    <xf numFmtId="169" fontId="0" fillId="0" borderId="0" xfId="0" applyNumberFormat="1"/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169" formatCode="[$-F800]dddd\,\ mmmm\ dd\,\ yyyy"/>
    </dxf>
    <dxf>
      <numFmt numFmtId="169" formatCode="[$-F800]dddd\,\ mmmm\ dd\,\ yyyy"/>
    </dxf>
    <dxf>
      <numFmt numFmtId="30" formatCode="@"/>
    </dxf>
    <dxf>
      <numFmt numFmtId="1" formatCode="0"/>
    </dxf>
    <dxf>
      <numFmt numFmtId="30" formatCode="@"/>
    </dxf>
    <dxf>
      <numFmt numFmtId="3" formatCode="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numFmt numFmtId="166" formatCode="dd\-mmm\-yyyy"/>
    </dxf>
    <dxf>
      <numFmt numFmtId="166" formatCode="dd\-mmm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FA37B-8A1C-4D64-9C5A-4AE2597B8174}" name="Table13" displayName="Table13" ref="A1:H11" totalsRowShown="0" headerRowDxfId="9" headerRowBorderDxfId="7" tableBorderDxfId="8">
  <autoFilter ref="A1:H11" xr:uid="{00000000-0009-0000-0000-000000000000}"/>
  <tableColumns count="8">
    <tableColumn id="1" xr3:uid="{ACC11F38-4ECD-4FA7-96E1-1DDB688AEBA1}" name="PatientID"/>
    <tableColumn id="2" xr3:uid="{5AE88350-BCE4-43EC-AF44-BE689532BED4}" name="Gender" dataDxfId="5"/>
    <tableColumn id="3" xr3:uid="{9960A16F-CEAA-45B7-A6A2-0B06B9A92511}" name="Age" dataDxfId="4"/>
    <tableColumn id="4" xr3:uid="{6491FF30-5BB8-467D-AA92-1A1B7356ED09}" name="Department" dataDxfId="3"/>
    <tableColumn id="5" xr3:uid="{BCC38D6B-D714-444B-9EAC-94BC743DD69B}" name="AdmissionDate" dataDxfId="2"/>
    <tableColumn id="6" xr3:uid="{F674D68E-A0AE-4368-9D7C-CF870FA5D66A}" name="DischargeDate" dataDxfId="1"/>
    <tableColumn id="7" xr3:uid="{347C22F5-D8FE-4A2F-A5E2-0A80F150F99F}" name="BillAmount" dataDxfId="6"/>
    <tableColumn id="8" xr3:uid="{828512C7-7648-407C-8A79-D7B469F36D67}" name="LengthOfStay" dataDxfId="0">
      <calculatedColumnFormula>Table13[[#This Row],[DischargeDate]]-Table13[[#This Row],[AdmissionDate]]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755A0-481D-4B3B-AFB7-5568ADB3AB73}" name="Table1" displayName="Table1" ref="A1:G11" totalsRowShown="0" headerRowDxfId="10" headerRowBorderDxfId="14" tableBorderDxfId="15">
  <autoFilter ref="A1:G11" xr:uid="{00000000-0009-0000-0000-000000000000}"/>
  <tableColumns count="7">
    <tableColumn id="1" xr3:uid="{E8D52E54-6B5F-4470-9E7C-197A7009B2E6}" name="PatientID"/>
    <tableColumn id="2" xr3:uid="{58E3D5B3-4B98-414B-B0CA-72861EA65AAC}" name="Gender"/>
    <tableColumn id="3" xr3:uid="{7D8F2823-CCA9-4493-8212-A1DC10D3EC96}" name="Age"/>
    <tableColumn id="4" xr3:uid="{3FD47B3F-8DF8-4111-8B4B-9B1D3FF751EB}" name="Department"/>
    <tableColumn id="5" xr3:uid="{3133FC47-80EC-48EA-852C-78E64BBB8842}" name="AdmissionDate" dataDxfId="13"/>
    <tableColumn id="6" xr3:uid="{7E380B1D-F1EB-479D-A162-938775A44D57}" name="DischargeDate" dataDxfId="12"/>
    <tableColumn id="7" xr3:uid="{E1635CE3-397D-4B0B-BEE5-3FCEC02DE1B7}" name="BillAmount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A967-C4B5-4174-B6C8-B5299C0AE0A7}">
  <dimension ref="A1:H1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6" customWidth="1"/>
    <col min="2" max="2" width="19.5546875" style="6" customWidth="1"/>
    <col min="3" max="3" width="20.6640625" style="8" customWidth="1"/>
    <col min="4" max="4" width="19" style="6" customWidth="1"/>
    <col min="5" max="6" width="22" style="10" customWidth="1"/>
    <col min="7" max="7" width="17.44140625" customWidth="1"/>
    <col min="8" max="8" width="22.88671875" customWidth="1"/>
  </cols>
  <sheetData>
    <row r="1" spans="1:8" x14ac:dyDescent="0.3">
      <c r="A1" s="4" t="s">
        <v>0</v>
      </c>
      <c r="B1" s="5" t="s">
        <v>1</v>
      </c>
      <c r="C1" s="7" t="s">
        <v>2</v>
      </c>
      <c r="D1" s="5" t="s">
        <v>3</v>
      </c>
      <c r="E1" s="9" t="s">
        <v>4</v>
      </c>
      <c r="F1" s="9" t="s">
        <v>5</v>
      </c>
      <c r="G1" s="4" t="s">
        <v>6</v>
      </c>
      <c r="H1" s="11" t="s">
        <v>35</v>
      </c>
    </row>
    <row r="2" spans="1:8" x14ac:dyDescent="0.3">
      <c r="A2" t="s">
        <v>7</v>
      </c>
      <c r="B2" s="6" t="s">
        <v>8</v>
      </c>
      <c r="C2" s="8">
        <v>45</v>
      </c>
      <c r="D2" s="6" t="s">
        <v>9</v>
      </c>
      <c r="E2" s="10">
        <v>46296</v>
      </c>
      <c r="F2" s="10">
        <v>46300</v>
      </c>
      <c r="G2" s="3">
        <v>25000</v>
      </c>
      <c r="H2">
        <f>Table13[[#This Row],[DischargeDate]]-Table13[[#This Row],[AdmissionDate]]</f>
        <v>4</v>
      </c>
    </row>
    <row r="3" spans="1:8" x14ac:dyDescent="0.3">
      <c r="A3" t="s">
        <v>10</v>
      </c>
      <c r="B3" s="6" t="s">
        <v>11</v>
      </c>
      <c r="C3" s="8">
        <v>32</v>
      </c>
      <c r="D3" s="6" t="s">
        <v>12</v>
      </c>
      <c r="E3" s="10">
        <v>46297</v>
      </c>
      <c r="F3" s="10">
        <v>46301</v>
      </c>
      <c r="G3" s="3">
        <v>18000</v>
      </c>
      <c r="H3">
        <f>Table13[[#This Row],[DischargeDate]]-Table13[[#This Row],[AdmissionDate]]</f>
        <v>4</v>
      </c>
    </row>
    <row r="4" spans="1:8" x14ac:dyDescent="0.3">
      <c r="A4" t="s">
        <v>13</v>
      </c>
      <c r="B4" s="6" t="s">
        <v>8</v>
      </c>
      <c r="C4" s="8">
        <v>60</v>
      </c>
      <c r="D4" s="6" t="s">
        <v>14</v>
      </c>
      <c r="E4" s="10">
        <v>46298</v>
      </c>
      <c r="F4" s="10">
        <v>46305</v>
      </c>
      <c r="G4" s="3">
        <v>35000</v>
      </c>
      <c r="H4">
        <f>Table13[[#This Row],[DischargeDate]]-Table13[[#This Row],[AdmissionDate]]</f>
        <v>7</v>
      </c>
    </row>
    <row r="5" spans="1:8" x14ac:dyDescent="0.3">
      <c r="A5" t="s">
        <v>15</v>
      </c>
      <c r="B5" s="6" t="s">
        <v>11</v>
      </c>
      <c r="C5" s="8">
        <v>25</v>
      </c>
      <c r="D5" s="6" t="s">
        <v>9</v>
      </c>
      <c r="E5" s="10">
        <v>46299</v>
      </c>
      <c r="F5" s="10">
        <v>46300</v>
      </c>
      <c r="G5" s="3">
        <v>12000</v>
      </c>
      <c r="H5">
        <f>Table13[[#This Row],[DischargeDate]]-Table13[[#This Row],[AdmissionDate]]</f>
        <v>1</v>
      </c>
    </row>
    <row r="6" spans="1:8" x14ac:dyDescent="0.3">
      <c r="A6" t="s">
        <v>16</v>
      </c>
      <c r="B6" s="6" t="s">
        <v>8</v>
      </c>
      <c r="C6" s="8">
        <v>50</v>
      </c>
      <c r="D6" s="6" t="s">
        <v>17</v>
      </c>
      <c r="E6" s="10">
        <v>46300</v>
      </c>
      <c r="F6" s="10">
        <v>46303</v>
      </c>
      <c r="G6" s="3">
        <v>15000</v>
      </c>
      <c r="H6">
        <f>Table13[[#This Row],[DischargeDate]]-Table13[[#This Row],[AdmissionDate]]</f>
        <v>3</v>
      </c>
    </row>
    <row r="7" spans="1:8" x14ac:dyDescent="0.3">
      <c r="A7" t="s">
        <v>18</v>
      </c>
      <c r="B7" s="6" t="s">
        <v>11</v>
      </c>
      <c r="C7" s="8">
        <v>42</v>
      </c>
      <c r="D7" s="6" t="s">
        <v>12</v>
      </c>
      <c r="E7" s="10">
        <v>46301</v>
      </c>
      <c r="F7" s="10">
        <v>46306</v>
      </c>
      <c r="G7" s="3">
        <v>22000</v>
      </c>
      <c r="H7">
        <f>Table13[[#This Row],[DischargeDate]]-Table13[[#This Row],[AdmissionDate]]</f>
        <v>5</v>
      </c>
    </row>
    <row r="8" spans="1:8" x14ac:dyDescent="0.3">
      <c r="A8" t="s">
        <v>19</v>
      </c>
      <c r="B8" s="6" t="s">
        <v>8</v>
      </c>
      <c r="C8" s="8">
        <v>35</v>
      </c>
      <c r="D8" s="6" t="s">
        <v>17</v>
      </c>
      <c r="E8" s="10">
        <v>46302</v>
      </c>
      <c r="F8" s="10">
        <v>46304</v>
      </c>
      <c r="G8" s="3">
        <v>10000</v>
      </c>
      <c r="H8">
        <f>Table13[[#This Row],[DischargeDate]]-Table13[[#This Row],[AdmissionDate]]</f>
        <v>2</v>
      </c>
    </row>
    <row r="9" spans="1:8" x14ac:dyDescent="0.3">
      <c r="A9" t="s">
        <v>20</v>
      </c>
      <c r="B9" s="6" t="s">
        <v>11</v>
      </c>
      <c r="C9" s="8">
        <v>55</v>
      </c>
      <c r="D9" s="6" t="s">
        <v>14</v>
      </c>
      <c r="E9" s="10">
        <v>46303</v>
      </c>
      <c r="F9" s="10">
        <v>46309</v>
      </c>
      <c r="G9" s="3">
        <v>30000</v>
      </c>
      <c r="H9">
        <f>Table13[[#This Row],[DischargeDate]]-Table13[[#This Row],[AdmissionDate]]</f>
        <v>6</v>
      </c>
    </row>
    <row r="10" spans="1:8" x14ac:dyDescent="0.3">
      <c r="A10" t="s">
        <v>21</v>
      </c>
      <c r="B10" s="6" t="s">
        <v>8</v>
      </c>
      <c r="C10" s="8">
        <v>28</v>
      </c>
      <c r="D10" s="6" t="s">
        <v>9</v>
      </c>
      <c r="E10" s="10">
        <v>46304</v>
      </c>
      <c r="F10" s="10">
        <v>46307</v>
      </c>
      <c r="G10" s="3">
        <v>16000</v>
      </c>
      <c r="H10">
        <f>Table13[[#This Row],[DischargeDate]]-Table13[[#This Row],[AdmissionDate]]</f>
        <v>3</v>
      </c>
    </row>
    <row r="11" spans="1:8" x14ac:dyDescent="0.3">
      <c r="A11" t="s">
        <v>22</v>
      </c>
      <c r="B11" s="6" t="s">
        <v>11</v>
      </c>
      <c r="C11" s="8">
        <v>65</v>
      </c>
      <c r="D11" s="6" t="s">
        <v>17</v>
      </c>
      <c r="E11" s="10">
        <v>46305</v>
      </c>
      <c r="F11" s="10">
        <v>46310</v>
      </c>
      <c r="G11" s="3">
        <v>20000</v>
      </c>
      <c r="H11">
        <f>Table13[[#This Row],[DischargeDate]]-Table13[[#This Row],[AdmissionDate]]</f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9.5546875" customWidth="1"/>
    <col min="3" max="3" width="20.6640625" customWidth="1"/>
    <col min="4" max="4" width="19" customWidth="1"/>
    <col min="5" max="6" width="22" customWidth="1"/>
    <col min="7" max="7" width="17.4414062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t="s">
        <v>7</v>
      </c>
      <c r="B2" t="s">
        <v>8</v>
      </c>
      <c r="C2">
        <v>45</v>
      </c>
      <c r="D2" t="s">
        <v>9</v>
      </c>
      <c r="E2" s="2">
        <v>46296</v>
      </c>
      <c r="F2" s="2">
        <v>46300</v>
      </c>
      <c r="G2" s="3">
        <v>25000</v>
      </c>
    </row>
    <row r="3" spans="1:7" x14ac:dyDescent="0.3">
      <c r="A3" t="s">
        <v>10</v>
      </c>
      <c r="B3" t="s">
        <v>11</v>
      </c>
      <c r="C3">
        <v>32</v>
      </c>
      <c r="D3" t="s">
        <v>12</v>
      </c>
      <c r="E3" s="2">
        <v>46297</v>
      </c>
      <c r="F3" s="2">
        <v>46301</v>
      </c>
      <c r="G3" s="3">
        <v>18000</v>
      </c>
    </row>
    <row r="4" spans="1:7" x14ac:dyDescent="0.3">
      <c r="A4" t="s">
        <v>13</v>
      </c>
      <c r="B4" t="s">
        <v>8</v>
      </c>
      <c r="C4">
        <v>60</v>
      </c>
      <c r="D4" t="s">
        <v>14</v>
      </c>
      <c r="E4" s="2">
        <v>46298</v>
      </c>
      <c r="F4" s="2">
        <v>46305</v>
      </c>
      <c r="G4" s="3">
        <v>35000</v>
      </c>
    </row>
    <row r="5" spans="1:7" x14ac:dyDescent="0.3">
      <c r="A5" t="s">
        <v>15</v>
      </c>
      <c r="B5" t="s">
        <v>11</v>
      </c>
      <c r="C5">
        <v>25</v>
      </c>
      <c r="D5" t="s">
        <v>9</v>
      </c>
      <c r="E5" s="2">
        <v>46299</v>
      </c>
      <c r="F5" s="2">
        <v>46300</v>
      </c>
      <c r="G5" s="3">
        <v>12000</v>
      </c>
    </row>
    <row r="6" spans="1:7" x14ac:dyDescent="0.3">
      <c r="A6" t="s">
        <v>16</v>
      </c>
      <c r="B6" t="s">
        <v>8</v>
      </c>
      <c r="C6">
        <v>50</v>
      </c>
      <c r="D6" t="s">
        <v>17</v>
      </c>
      <c r="E6" s="2">
        <v>46300</v>
      </c>
      <c r="F6" s="2">
        <v>46303</v>
      </c>
      <c r="G6" s="3">
        <v>15000</v>
      </c>
    </row>
    <row r="7" spans="1:7" x14ac:dyDescent="0.3">
      <c r="A7" t="s">
        <v>18</v>
      </c>
      <c r="B7" t="s">
        <v>11</v>
      </c>
      <c r="C7">
        <v>42</v>
      </c>
      <c r="D7" t="s">
        <v>12</v>
      </c>
      <c r="E7" s="2">
        <v>46301</v>
      </c>
      <c r="F7" s="2">
        <v>46306</v>
      </c>
      <c r="G7" s="3">
        <v>22000</v>
      </c>
    </row>
    <row r="8" spans="1:7" x14ac:dyDescent="0.3">
      <c r="A8" t="s">
        <v>19</v>
      </c>
      <c r="B8" t="s">
        <v>8</v>
      </c>
      <c r="C8">
        <v>35</v>
      </c>
      <c r="D8" t="s">
        <v>17</v>
      </c>
      <c r="E8" s="2">
        <v>46302</v>
      </c>
      <c r="F8" s="2">
        <v>46304</v>
      </c>
      <c r="G8" s="3">
        <v>10000</v>
      </c>
    </row>
    <row r="9" spans="1:7" x14ac:dyDescent="0.3">
      <c r="A9" t="s">
        <v>20</v>
      </c>
      <c r="B9" t="s">
        <v>11</v>
      </c>
      <c r="C9">
        <v>55</v>
      </c>
      <c r="D9" t="s">
        <v>14</v>
      </c>
      <c r="E9" s="2">
        <v>46303</v>
      </c>
      <c r="F9" s="2">
        <v>46309</v>
      </c>
      <c r="G9" s="3">
        <v>30000</v>
      </c>
    </row>
    <row r="10" spans="1:7" x14ac:dyDescent="0.3">
      <c r="A10" t="s">
        <v>21</v>
      </c>
      <c r="B10" t="s">
        <v>8</v>
      </c>
      <c r="C10">
        <v>28</v>
      </c>
      <c r="D10" t="s">
        <v>9</v>
      </c>
      <c r="E10" s="2">
        <v>46304</v>
      </c>
      <c r="F10" s="2">
        <v>46307</v>
      </c>
      <c r="G10" s="3">
        <v>16000</v>
      </c>
    </row>
    <row r="11" spans="1:7" x14ac:dyDescent="0.3">
      <c r="A11" t="s">
        <v>22</v>
      </c>
      <c r="B11" t="s">
        <v>11</v>
      </c>
      <c r="C11">
        <v>65</v>
      </c>
      <c r="D11" t="s">
        <v>17</v>
      </c>
      <c r="E11" s="2">
        <v>46305</v>
      </c>
      <c r="F11" s="2">
        <v>46310</v>
      </c>
      <c r="G11" s="3">
        <v>20000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27" customWidth="1"/>
    <col min="2" max="2" width="38" customWidth="1"/>
  </cols>
  <sheetData>
    <row r="1" spans="1:2" x14ac:dyDescent="0.3">
      <c r="A1" s="1" t="s">
        <v>23</v>
      </c>
      <c r="B1" s="1" t="s">
        <v>24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 t="s">
        <v>30</v>
      </c>
    </row>
    <row r="5" spans="1:2" x14ac:dyDescent="0.3">
      <c r="A5" t="s">
        <v>31</v>
      </c>
      <c r="B5" t="s">
        <v>32</v>
      </c>
    </row>
    <row r="6" spans="1:2" x14ac:dyDescent="0.3">
      <c r="A6" t="s">
        <v>33</v>
      </c>
      <c r="B6" t="s">
        <v>34</v>
      </c>
    </row>
  </sheetData>
  <autoFilter ref="A1:B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HospitalData (2)</vt:lpstr>
      <vt:lpstr>HospitalData</vt:lpstr>
      <vt:lpstr>ProjectGuide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Snehal M</cp:lastModifiedBy>
  <dcterms:created xsi:type="dcterms:W3CDTF">2026-10-28T05:22:18Z</dcterms:created>
  <dcterms:modified xsi:type="dcterms:W3CDTF">2026-10-28T05:58:27Z</dcterms:modified>
</cp:coreProperties>
</file>